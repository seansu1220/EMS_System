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fir_firpublic\共用資料\現有同仁\政佑\到院前\"/>
    </mc:Choice>
  </mc:AlternateContent>
  <xr:revisionPtr revIDLastSave="0" documentId="13_ncr:1_{76400B49-534D-4EAC-A7B6-8B718134BCA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到院前預警比例" sheetId="7" r:id="rId1"/>
    <sheet name="排序" sheetId="4" r:id="rId2"/>
  </sheets>
  <definedNames>
    <definedName name="_xlnm._FilterDatabase" localSheetId="1" hidden="1">排序!$A$3:$D$43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7" l="1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10" i="4"/>
  <c r="D3" i="4"/>
  <c r="D7" i="4"/>
  <c r="D6" i="4"/>
  <c r="D8" i="4"/>
  <c r="D11" i="4"/>
  <c r="D4" i="4"/>
  <c r="D9" i="4"/>
  <c r="D5" i="4"/>
  <c r="C47" i="7" l="1"/>
  <c r="B47" i="7"/>
  <c r="A47" i="7"/>
  <c r="C46" i="7"/>
  <c r="B46" i="7"/>
  <c r="A46" i="7"/>
  <c r="C45" i="7"/>
  <c r="B45" i="7"/>
  <c r="A45" i="7"/>
  <c r="C44" i="7"/>
  <c r="B44" i="7"/>
  <c r="A44" i="7"/>
  <c r="C43" i="7"/>
  <c r="B43" i="7"/>
  <c r="A43" i="7"/>
  <c r="C42" i="7"/>
  <c r="B42" i="7"/>
  <c r="A42" i="7"/>
  <c r="C41" i="7"/>
  <c r="B41" i="7"/>
  <c r="A41" i="7"/>
  <c r="C40" i="7"/>
  <c r="A40" i="7"/>
  <c r="C39" i="7"/>
  <c r="B39" i="7"/>
  <c r="A39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8" i="7"/>
  <c r="B8" i="7"/>
  <c r="A8" i="7"/>
  <c r="C7" i="7"/>
  <c r="B7" i="7"/>
  <c r="A7" i="7"/>
  <c r="C6" i="7"/>
  <c r="B6" i="7"/>
  <c r="A6" i="7"/>
  <c r="C5" i="7"/>
  <c r="B5" i="7"/>
  <c r="A5" i="7"/>
  <c r="C4" i="7"/>
  <c r="B4" i="7"/>
  <c r="A4" i="7"/>
  <c r="B38" i="7" l="1"/>
  <c r="C38" i="7"/>
  <c r="C29" i="7"/>
  <c r="C3" i="7"/>
  <c r="C16" i="7"/>
  <c r="B29" i="7"/>
  <c r="B3" i="7"/>
  <c r="B16" i="7"/>
  <c r="D7" i="7"/>
  <c r="D8" i="7"/>
  <c r="D6" i="7"/>
  <c r="D11" i="7"/>
  <c r="D33" i="7"/>
  <c r="D40" i="7"/>
  <c r="D31" i="7"/>
  <c r="D5" i="7"/>
  <c r="D17" i="7"/>
  <c r="D20" i="7"/>
  <c r="D14" i="7"/>
  <c r="D22" i="7"/>
  <c r="D12" i="7"/>
  <c r="D9" i="7"/>
  <c r="D25" i="7"/>
  <c r="D4" i="7"/>
  <c r="D15" i="7"/>
  <c r="D45" i="7"/>
  <c r="D26" i="7"/>
  <c r="D42" i="7"/>
  <c r="D46" i="7"/>
  <c r="D19" i="7"/>
  <c r="D36" i="7"/>
  <c r="D18" i="7"/>
  <c r="D13" i="7"/>
  <c r="D30" i="7"/>
  <c r="D35" i="7"/>
  <c r="D10" i="7"/>
  <c r="D37" i="7" l="1"/>
  <c r="D21" i="7"/>
  <c r="D24" i="7"/>
  <c r="D34" i="7"/>
  <c r="D44" i="7"/>
  <c r="D39" i="7"/>
  <c r="D23" i="7"/>
  <c r="D41" i="7"/>
  <c r="D43" i="7"/>
  <c r="D32" i="7"/>
  <c r="D27" i="7"/>
  <c r="D47" i="7"/>
  <c r="D28" i="7"/>
  <c r="D3" i="7"/>
  <c r="D29" i="7" l="1"/>
  <c r="D16" i="7"/>
  <c r="D38" i="7"/>
</calcChain>
</file>

<file path=xl/sharedStrings.xml><?xml version="1.0" encoding="utf-8"?>
<sst xmlns="http://schemas.openxmlformats.org/spreadsheetml/2006/main" count="94" uniqueCount="49">
  <si>
    <t>大湳分隊</t>
  </si>
  <si>
    <t>巴陵分隊</t>
  </si>
  <si>
    <t>楊梅分隊</t>
  </si>
  <si>
    <t>興國分隊</t>
  </si>
  <si>
    <t>三民分隊</t>
  </si>
  <si>
    <t>埔子分隊</t>
  </si>
  <si>
    <t>龍潭分隊</t>
  </si>
  <si>
    <t>草漯分隊</t>
  </si>
  <si>
    <t>坪頂分隊</t>
  </si>
  <si>
    <t>山腳分隊</t>
  </si>
  <si>
    <t>復旦分隊</t>
  </si>
  <si>
    <t>富岡分隊</t>
  </si>
  <si>
    <t>山峰分隊</t>
  </si>
  <si>
    <t>迴龍分隊</t>
  </si>
  <si>
    <t>中壢分隊</t>
  </si>
  <si>
    <t>茄苳分隊</t>
  </si>
  <si>
    <t>蘆竹分隊</t>
  </si>
  <si>
    <t>龜山分隊</t>
  </si>
  <si>
    <t>竹圍分隊</t>
  </si>
  <si>
    <t>內壢分隊</t>
  </si>
  <si>
    <t>大林分隊</t>
  </si>
  <si>
    <t>大有分隊</t>
  </si>
  <si>
    <t>大園分隊</t>
  </si>
  <si>
    <t>桃園分隊</t>
  </si>
  <si>
    <t>青埔分隊</t>
  </si>
  <si>
    <t>新屋分隊</t>
  </si>
  <si>
    <t>華勛分隊</t>
  </si>
  <si>
    <t>中路分隊</t>
  </si>
  <si>
    <t>龍岡分隊</t>
  </si>
  <si>
    <t>大溪分隊</t>
  </si>
  <si>
    <t>高平分隊</t>
  </si>
  <si>
    <t>平鎮分隊</t>
  </si>
  <si>
    <t>埔心分隊</t>
  </si>
  <si>
    <t>永安分隊</t>
  </si>
  <si>
    <t>圳頂分隊</t>
  </si>
  <si>
    <t>大竹分隊</t>
  </si>
  <si>
    <t>新坡分隊</t>
  </si>
  <si>
    <t>觀音分隊</t>
  </si>
  <si>
    <t>八德分隊</t>
  </si>
  <si>
    <t>復興分隊</t>
  </si>
  <si>
    <t>幼獅分隊</t>
  </si>
  <si>
    <t>有送醫案件</t>
    <phoneticPr fontId="1" type="noConversion"/>
  </si>
  <si>
    <t>有送醫有預警案件</t>
    <phoneticPr fontId="1" type="noConversion"/>
  </si>
  <si>
    <t>到院前預警率</t>
    <phoneticPr fontId="1" type="noConversion"/>
  </si>
  <si>
    <t>第一大隊</t>
    <phoneticPr fontId="1" type="noConversion"/>
  </si>
  <si>
    <t>第二大隊</t>
    <phoneticPr fontId="1" type="noConversion"/>
  </si>
  <si>
    <t>第三大隊</t>
    <phoneticPr fontId="1" type="noConversion"/>
  </si>
  <si>
    <t>第四大隊</t>
    <phoneticPr fontId="1" type="noConversion"/>
  </si>
  <si>
    <t>本局6/1-6/30到院前預警案件執行率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</si>
</sst>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4"/>
      <color theme="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indexed="8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>
      <alignment vertical="center"/>
    </xf>
    <xf numFmtId="10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10" fontId="2" fillId="2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Border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99B8-4674-49F1-988A-361B84539E32}">
  <sheetPr>
    <pageSetUpPr fitToPage="1"/>
  </sheetPr>
  <dimension ref="A1:D47"/>
  <sheetViews>
    <sheetView workbookViewId="0">
      <selection activeCell="J11" sqref="J11"/>
    </sheetView>
  </sheetViews>
  <sheetFormatPr defaultRowHeight="15.75" x14ac:dyDescent="0.25"/>
  <cols>
    <col min="1" max="1" width="17.85546875" style="14" customWidth="1"/>
    <col min="2" max="2" width="30.140625" style="14" customWidth="1"/>
    <col min="3" max="3" width="26.85546875" style="14" customWidth="1"/>
    <col min="4" max="4" width="29.140625" style="14" customWidth="1"/>
    <col min="5" max="16384" width="9.140625" style="14"/>
  </cols>
  <sheetData>
    <row r="1" spans="1:4" ht="21" x14ac:dyDescent="0.25">
      <c r="A1" s="20" t="s">
        <v>48</v>
      </c>
      <c r="B1" s="21"/>
      <c r="C1" s="21"/>
      <c r="D1" s="21"/>
    </row>
    <row r="2" spans="1:4" ht="21" x14ac:dyDescent="0.25">
      <c r="A2" s="1"/>
      <c r="B2" s="1" t="s">
        <v>42</v>
      </c>
      <c r="C2" s="1" t="s">
        <v>41</v>
      </c>
      <c r="D2" s="2" t="s">
        <v>43</v>
      </c>
    </row>
    <row r="3" spans="1:4" ht="21" x14ac:dyDescent="0.25">
      <c r="A3" s="3" t="s">
        <v>44</v>
      </c>
      <c r="B3" s="3">
        <f>SUM(B4:B15)</f>
        <v>2686</v>
      </c>
      <c r="C3" s="3">
        <f>SUM(C4:C15)</f>
        <v>2866</v>
      </c>
      <c r="D3" s="4">
        <f>AVERAGE(D4:D15)</f>
        <v>0.93531610806022147</v>
      </c>
    </row>
    <row r="4" spans="1:4" ht="21" x14ac:dyDescent="0.25">
      <c r="A4" s="6" t="str">
        <f>_xlfn.XLOOKUP(排序!E3, 排序!A:A, 排序!A:A, "")</f>
        <v>桃園分隊</v>
      </c>
      <c r="B4" s="1">
        <f>_xlfn.XLOOKUP(排序!E3, 排序!A:A, 排序!B:B, "")</f>
        <v>266</v>
      </c>
      <c r="C4" s="1">
        <f>_xlfn.XLOOKUP(排序!E3, 排序!A:A, 排序!C:C, "")</f>
        <v>279</v>
      </c>
      <c r="D4" s="2">
        <f>_xlfn.XLOOKUP(排序!E3, 排序!A:A, 排序!D:D, "")</f>
        <v>0.95340501792114696</v>
      </c>
    </row>
    <row r="5" spans="1:4" ht="21" x14ac:dyDescent="0.25">
      <c r="A5" s="6" t="str">
        <f>_xlfn.XLOOKUP(排序!E4, 排序!A:A, 排序!A:A, "")</f>
        <v>中路分隊</v>
      </c>
      <c r="B5" s="1">
        <f>_xlfn.XLOOKUP(排序!E4, 排序!A:A, 排序!B:B, "")</f>
        <v>179</v>
      </c>
      <c r="C5" s="1">
        <f>_xlfn.XLOOKUP(排序!E4, 排序!A:A, 排序!C:C, "")</f>
        <v>198</v>
      </c>
      <c r="D5" s="2">
        <f>_xlfn.XLOOKUP(排序!E4, 排序!A:A, 排序!D:D, "")</f>
        <v>0.90404040404040409</v>
      </c>
    </row>
    <row r="6" spans="1:4" ht="21" x14ac:dyDescent="0.25">
      <c r="A6" s="6" t="str">
        <f>_xlfn.XLOOKUP(排序!E5, 排序!A:A, 排序!A:A, "")</f>
        <v>大林分隊</v>
      </c>
      <c r="B6" s="1">
        <f>_xlfn.XLOOKUP(排序!E5, 排序!A:A, 排序!B:B, "")</f>
        <v>265</v>
      </c>
      <c r="C6" s="1">
        <f>_xlfn.XLOOKUP(排序!E5, 排序!A:A, 排序!C:C, "")</f>
        <v>277</v>
      </c>
      <c r="D6" s="2">
        <f>_xlfn.XLOOKUP(排序!E5, 排序!A:A, 排序!D:D, "")</f>
        <v>0.95667870036101088</v>
      </c>
    </row>
    <row r="7" spans="1:4" ht="21" x14ac:dyDescent="0.25">
      <c r="A7" s="6" t="str">
        <f>_xlfn.XLOOKUP(排序!E6, 排序!A:A, 排序!A:A, "")</f>
        <v>三民分隊</v>
      </c>
      <c r="B7" s="1">
        <f>_xlfn.XLOOKUP(排序!E6, 排序!A:A, 排序!B:B, "")</f>
        <v>381</v>
      </c>
      <c r="C7" s="1">
        <f>_xlfn.XLOOKUP(排序!E6, 排序!A:A, 排序!C:C, "")</f>
        <v>410</v>
      </c>
      <c r="D7" s="2">
        <f>_xlfn.XLOOKUP(排序!E6, 排序!A:A, 排序!D:D, "")</f>
        <v>0.92926829268292688</v>
      </c>
    </row>
    <row r="8" spans="1:4" ht="21" x14ac:dyDescent="0.25">
      <c r="A8" s="6" t="str">
        <f>_xlfn.XLOOKUP(排序!E7, 排序!A:A, 排序!A:A, "")</f>
        <v>大有分隊</v>
      </c>
      <c r="B8" s="1">
        <f>_xlfn.XLOOKUP(排序!E7, 排序!A:A, 排序!B:B, "")</f>
        <v>194</v>
      </c>
      <c r="C8" s="1">
        <f>_xlfn.XLOOKUP(排序!E7, 排序!A:A, 排序!C:C, "")</f>
        <v>225</v>
      </c>
      <c r="D8" s="2">
        <f>_xlfn.XLOOKUP(排序!E7, 排序!A:A, 排序!D:D, "")</f>
        <v>0.86222222222222222</v>
      </c>
    </row>
    <row r="9" spans="1:4" ht="21" x14ac:dyDescent="0.25">
      <c r="A9" s="6" t="str">
        <f>_xlfn.XLOOKUP(排序!E8, 排序!A:A, 排序!A:A, "")</f>
        <v>埔子分隊</v>
      </c>
      <c r="B9" s="1">
        <f>_xlfn.XLOOKUP(排序!E8, 排序!A:A, 排序!B:B, "")</f>
        <v>209</v>
      </c>
      <c r="C9" s="1">
        <f>_xlfn.XLOOKUP(排序!E8, 排序!A:A, 排序!C:C, "")</f>
        <v>221</v>
      </c>
      <c r="D9" s="2">
        <f>_xlfn.XLOOKUP(排序!E8, 排序!A:A, 排序!D:D, "")</f>
        <v>0.94570135746606332</v>
      </c>
    </row>
    <row r="10" spans="1:4" ht="21" x14ac:dyDescent="0.25">
      <c r="A10" s="6" t="str">
        <f>_xlfn.XLOOKUP(排序!E9, 排序!A:A, 排序!A:A, "")</f>
        <v>八德分隊</v>
      </c>
      <c r="B10" s="1">
        <f>_xlfn.XLOOKUP(排序!E9, 排序!A:A, 排序!B:B, "")</f>
        <v>211</v>
      </c>
      <c r="C10" s="1">
        <f>_xlfn.XLOOKUP(排序!E9, 排序!A:A, 排序!C:C, "")</f>
        <v>218</v>
      </c>
      <c r="D10" s="2">
        <f>_xlfn.XLOOKUP(排序!E9, 排序!A:A, 排序!D:D, "")</f>
        <v>0.9678899082568807</v>
      </c>
    </row>
    <row r="11" spans="1:4" ht="21" x14ac:dyDescent="0.25">
      <c r="A11" s="6" t="str">
        <f>_xlfn.XLOOKUP(排序!E10, 排序!A:A, 排序!A:A, "")</f>
        <v>大湳分隊</v>
      </c>
      <c r="B11" s="1">
        <f>_xlfn.XLOOKUP(排序!E10, 排序!A:A, 排序!B:B, "")</f>
        <v>248</v>
      </c>
      <c r="C11" s="1">
        <f>_xlfn.XLOOKUP(排序!E10, 排序!A:A, 排序!C:C, "")</f>
        <v>266</v>
      </c>
      <c r="D11" s="2">
        <f>_xlfn.XLOOKUP(排序!E10, 排序!A:A, 排序!D:D, "")</f>
        <v>0.93233082706766912</v>
      </c>
    </row>
    <row r="12" spans="1:4" ht="21" x14ac:dyDescent="0.25">
      <c r="A12" s="6" t="str">
        <f>_xlfn.XLOOKUP(排序!E11, 排序!A:A, 排序!A:A, "")</f>
        <v>茄苳分隊</v>
      </c>
      <c r="B12" s="1">
        <f>_xlfn.XLOOKUP(排序!E11, 排序!A:A, 排序!B:B, "")</f>
        <v>180</v>
      </c>
      <c r="C12" s="1">
        <f>_xlfn.XLOOKUP(排序!E11, 排序!A:A, 排序!C:C, "")</f>
        <v>193</v>
      </c>
      <c r="D12" s="2">
        <f>_xlfn.XLOOKUP(排序!E11, 排序!A:A, 排序!D:D, "")</f>
        <v>0.93264248704663211</v>
      </c>
    </row>
    <row r="13" spans="1:4" ht="21" x14ac:dyDescent="0.25">
      <c r="A13" s="6" t="str">
        <f>_xlfn.XLOOKUP(排序!E12, 排序!A:A, 排序!A:A, "")</f>
        <v>龜山分隊</v>
      </c>
      <c r="B13" s="1">
        <f>_xlfn.XLOOKUP(排序!E12, 排序!A:A, 排序!B:B, "")</f>
        <v>261</v>
      </c>
      <c r="C13" s="1">
        <f>_xlfn.XLOOKUP(排序!E12, 排序!A:A, 排序!C:C, "")</f>
        <v>268</v>
      </c>
      <c r="D13" s="2">
        <f>_xlfn.XLOOKUP(排序!E12, 排序!A:A, 排序!D:D, "")</f>
        <v>0.97388059701492535</v>
      </c>
    </row>
    <row r="14" spans="1:4" ht="21" x14ac:dyDescent="0.25">
      <c r="A14" s="6" t="str">
        <f>_xlfn.XLOOKUP(排序!E13, 排序!A:A, 排序!A:A, "")</f>
        <v>坪頂分隊</v>
      </c>
      <c r="B14" s="1">
        <f>_xlfn.XLOOKUP(排序!E13, 排序!A:A, 排序!B:B, "")</f>
        <v>222</v>
      </c>
      <c r="C14" s="1">
        <f>_xlfn.XLOOKUP(排序!E13, 排序!A:A, 排序!C:C, "")</f>
        <v>235</v>
      </c>
      <c r="D14" s="2">
        <f>_xlfn.XLOOKUP(排序!E13, 排序!A:A, 排序!D:D, "")</f>
        <v>0.94468085106382982</v>
      </c>
    </row>
    <row r="15" spans="1:4" ht="21" x14ac:dyDescent="0.25">
      <c r="A15" s="6" t="str">
        <f>_xlfn.XLOOKUP(排序!E14, 排序!A:A, 排序!A:A, "")</f>
        <v>迴龍分隊</v>
      </c>
      <c r="B15" s="1">
        <f>_xlfn.XLOOKUP(排序!E14, 排序!A:A, 排序!B:B, "")</f>
        <v>70</v>
      </c>
      <c r="C15" s="1">
        <f>_xlfn.XLOOKUP(排序!E14, 排序!A:A, 排序!C:C, "")</f>
        <v>76</v>
      </c>
      <c r="D15" s="2">
        <f>_xlfn.XLOOKUP(排序!E14, 排序!A:A, 排序!D:D, "")</f>
        <v>0.92105263157894735</v>
      </c>
    </row>
    <row r="16" spans="1:4" ht="21" x14ac:dyDescent="0.25">
      <c r="A16" s="3" t="s">
        <v>45</v>
      </c>
      <c r="B16" s="3">
        <f>SUM(B17:B28)</f>
        <v>2452</v>
      </c>
      <c r="C16" s="3">
        <f>SUM(C17:C28)</f>
        <v>2553</v>
      </c>
      <c r="D16" s="4">
        <f>AVERAGE(D17:D28)</f>
        <v>0.95404344395190088</v>
      </c>
    </row>
    <row r="17" spans="1:4" ht="21" x14ac:dyDescent="0.25">
      <c r="A17" s="6" t="str">
        <f>_xlfn.XLOOKUP(排序!E15, 排序!A:A, 排序!A:A, "")</f>
        <v>中壢分隊</v>
      </c>
      <c r="B17" s="1">
        <f>_xlfn.XLOOKUP(排序!E15, 排序!A:A, 排序!B:B, "")</f>
        <v>359</v>
      </c>
      <c r="C17" s="1">
        <f>_xlfn.XLOOKUP(排序!E15, 排序!A:A, 排序!C:C, "")</f>
        <v>369</v>
      </c>
      <c r="D17" s="2">
        <f>_xlfn.XLOOKUP(排序!E15, 排序!A:A, 排序!D:D, "")</f>
        <v>0.97289972899728994</v>
      </c>
    </row>
    <row r="18" spans="1:4" ht="21" x14ac:dyDescent="0.25">
      <c r="A18" s="6" t="str">
        <f>_xlfn.XLOOKUP(排序!E16, 排序!A:A, 排序!A:A, "")</f>
        <v>興國分隊</v>
      </c>
      <c r="B18" s="1">
        <f>_xlfn.XLOOKUP(排序!E16, 排序!A:A, 排序!B:B, "")</f>
        <v>357</v>
      </c>
      <c r="C18" s="1">
        <f>_xlfn.XLOOKUP(排序!E16, 排序!A:A, 排序!C:C, "")</f>
        <v>372</v>
      </c>
      <c r="D18" s="2">
        <f>_xlfn.XLOOKUP(排序!E16, 排序!A:A, 排序!D:D, "")</f>
        <v>0.95967741935483875</v>
      </c>
    </row>
    <row r="19" spans="1:4" ht="21" x14ac:dyDescent="0.25">
      <c r="A19" s="6" t="str">
        <f>_xlfn.XLOOKUP(排序!E17, 排序!A:A, 排序!A:A, "")</f>
        <v>華勛分隊</v>
      </c>
      <c r="B19" s="1">
        <f>_xlfn.XLOOKUP(排序!E17, 排序!A:A, 排序!B:B, "")</f>
        <v>303</v>
      </c>
      <c r="C19" s="1">
        <f>_xlfn.XLOOKUP(排序!E17, 排序!A:A, 排序!C:C, "")</f>
        <v>312</v>
      </c>
      <c r="D19" s="2">
        <f>_xlfn.XLOOKUP(排序!E17, 排序!A:A, 排序!D:D, "")</f>
        <v>0.97115384615384615</v>
      </c>
    </row>
    <row r="20" spans="1:4" ht="21" x14ac:dyDescent="0.25">
      <c r="A20" s="6" t="str">
        <f>_xlfn.XLOOKUP(排序!E18, 排序!A:A, 排序!A:A, "")</f>
        <v>內壢分隊</v>
      </c>
      <c r="B20" s="1">
        <f>_xlfn.XLOOKUP(排序!E18, 排序!A:A, 排序!B:B, "")</f>
        <v>270</v>
      </c>
      <c r="C20" s="1">
        <f>_xlfn.XLOOKUP(排序!E18, 排序!A:A, 排序!C:C, "")</f>
        <v>299</v>
      </c>
      <c r="D20" s="2">
        <f>_xlfn.XLOOKUP(排序!E18, 排序!A:A, 排序!D:D, "")</f>
        <v>0.90301003344481601</v>
      </c>
    </row>
    <row r="21" spans="1:4" ht="21" x14ac:dyDescent="0.25">
      <c r="A21" s="6" t="str">
        <f>_xlfn.XLOOKUP(排序!E19, 排序!A:A, 排序!A:A, "")</f>
        <v>龍岡分隊</v>
      </c>
      <c r="B21" s="1">
        <f>_xlfn.XLOOKUP(排序!E19, 排序!A:A, 排序!B:B, "")</f>
        <v>237</v>
      </c>
      <c r="C21" s="1">
        <f>_xlfn.XLOOKUP(排序!E19, 排序!A:A, 排序!C:C, "")</f>
        <v>244</v>
      </c>
      <c r="D21" s="2">
        <f>_xlfn.XLOOKUP(排序!E19, 排序!A:A, 排序!D:D, "")</f>
        <v>0.97131147540983609</v>
      </c>
    </row>
    <row r="22" spans="1:4" ht="21" x14ac:dyDescent="0.25">
      <c r="A22" s="6" t="str">
        <f>_xlfn.XLOOKUP(排序!E20, 排序!A:A, 排序!A:A, "")</f>
        <v>青埔分隊</v>
      </c>
      <c r="B22" s="1">
        <f>_xlfn.XLOOKUP(排序!E20, 排序!A:A, 排序!B:B, "")</f>
        <v>179</v>
      </c>
      <c r="C22" s="1">
        <f>_xlfn.XLOOKUP(排序!E20, 排序!A:A, 排序!C:C, "")</f>
        <v>183</v>
      </c>
      <c r="D22" s="2">
        <f>_xlfn.XLOOKUP(排序!E20, 排序!A:A, 排序!D:D, "")</f>
        <v>0.97814207650273222</v>
      </c>
    </row>
    <row r="23" spans="1:4" ht="21" x14ac:dyDescent="0.25">
      <c r="A23" s="6" t="str">
        <f>_xlfn.XLOOKUP(排序!E21, 排序!A:A, 排序!A:A, "")</f>
        <v>楊梅分隊</v>
      </c>
      <c r="B23" s="1">
        <f>_xlfn.XLOOKUP(排序!E21, 排序!A:A, 排序!B:B, "")</f>
        <v>218</v>
      </c>
      <c r="C23" s="1">
        <f>_xlfn.XLOOKUP(排序!E21, 排序!A:A, 排序!C:C, "")</f>
        <v>220</v>
      </c>
      <c r="D23" s="2">
        <f>_xlfn.XLOOKUP(排序!E21, 排序!A:A, 排序!D:D, "")</f>
        <v>0.99090909090909096</v>
      </c>
    </row>
    <row r="24" spans="1:4" ht="21" x14ac:dyDescent="0.25">
      <c r="A24" s="6" t="str">
        <f>_xlfn.XLOOKUP(排序!E22, 排序!A:A, 排序!A:A, "")</f>
        <v>幼獅分隊</v>
      </c>
      <c r="B24" s="1">
        <f>_xlfn.XLOOKUP(排序!E22, 排序!A:A, 排序!B:B, "")</f>
        <v>119</v>
      </c>
      <c r="C24" s="1">
        <f>_xlfn.XLOOKUP(排序!E22, 排序!A:A, 排序!C:C, "")</f>
        <v>125</v>
      </c>
      <c r="D24" s="2">
        <f>_xlfn.XLOOKUP(排序!E22, 排序!A:A, 排序!D:D, "")</f>
        <v>0.95199999999999996</v>
      </c>
    </row>
    <row r="25" spans="1:4" ht="21" x14ac:dyDescent="0.25">
      <c r="A25" s="6" t="str">
        <f>_xlfn.XLOOKUP(排序!E23, 排序!A:A, 排序!A:A, "")</f>
        <v>埔心分隊</v>
      </c>
      <c r="B25" s="1">
        <f>_xlfn.XLOOKUP(排序!E23, 排序!A:A, 排序!B:B, "")</f>
        <v>158</v>
      </c>
      <c r="C25" s="1">
        <f>_xlfn.XLOOKUP(排序!E23, 排序!A:A, 排序!C:C, "")</f>
        <v>162</v>
      </c>
      <c r="D25" s="2">
        <f>_xlfn.XLOOKUP(排序!E23, 排序!A:A, 排序!D:D, "")</f>
        <v>0.97530864197530864</v>
      </c>
    </row>
    <row r="26" spans="1:4" ht="21" x14ac:dyDescent="0.25">
      <c r="A26" s="6" t="str">
        <f>_xlfn.XLOOKUP(排序!E24, 排序!A:A, 排序!A:A, "")</f>
        <v>富岡分隊</v>
      </c>
      <c r="B26" s="1">
        <f>_xlfn.XLOOKUP(排序!E24, 排序!A:A, 排序!B:B, "")</f>
        <v>103</v>
      </c>
      <c r="C26" s="1">
        <f>_xlfn.XLOOKUP(排序!E24, 排序!A:A, 排序!C:C, "")</f>
        <v>106</v>
      </c>
      <c r="D26" s="2">
        <f>_xlfn.XLOOKUP(排序!E24, 排序!A:A, 排序!D:D, "")</f>
        <v>0.97169811320754718</v>
      </c>
    </row>
    <row r="27" spans="1:4" ht="21" x14ac:dyDescent="0.25">
      <c r="A27" s="6" t="str">
        <f>_xlfn.XLOOKUP(排序!E25, 排序!A:A, 排序!A:A, "")</f>
        <v>新屋分隊</v>
      </c>
      <c r="B27" s="1">
        <f>_xlfn.XLOOKUP(排序!E25, 排序!A:A, 排序!B:B, "")</f>
        <v>105</v>
      </c>
      <c r="C27" s="1">
        <f>_xlfn.XLOOKUP(排序!E25, 排序!A:A, 排序!C:C, "")</f>
        <v>108</v>
      </c>
      <c r="D27" s="2">
        <f>_xlfn.XLOOKUP(排序!E25, 排序!A:A, 排序!D:D, "")</f>
        <v>0.97222222222222221</v>
      </c>
    </row>
    <row r="28" spans="1:4" ht="21" x14ac:dyDescent="0.25">
      <c r="A28" s="6" t="str">
        <f>_xlfn.XLOOKUP(排序!E26, 排序!A:A, 排序!A:A, "")</f>
        <v>永安分隊</v>
      </c>
      <c r="B28" s="1">
        <f>_xlfn.XLOOKUP(排序!E26, 排序!A:A, 排序!B:B, "")</f>
        <v>44</v>
      </c>
      <c r="C28" s="1">
        <f>_xlfn.XLOOKUP(排序!E26, 排序!A:A, 排序!C:C, "")</f>
        <v>53</v>
      </c>
      <c r="D28" s="2">
        <f>_xlfn.XLOOKUP(排序!E26, 排序!A:A, 排序!D:D, "")</f>
        <v>0.83018867924528306</v>
      </c>
    </row>
    <row r="29" spans="1:4" ht="21" x14ac:dyDescent="0.25">
      <c r="A29" s="3" t="s">
        <v>46</v>
      </c>
      <c r="B29" s="3">
        <f>SUM(B30:B37)</f>
        <v>1010</v>
      </c>
      <c r="C29" s="3">
        <f>SUM(C30:C37)</f>
        <v>1062</v>
      </c>
      <c r="D29" s="4">
        <f>AVERAGE(D30:D37)</f>
        <v>0.94944052555145908</v>
      </c>
    </row>
    <row r="30" spans="1:4" ht="21" x14ac:dyDescent="0.25">
      <c r="A30" s="6" t="str">
        <f>_xlfn.XLOOKUP(排序!E27, 排序!A:A, 排序!A:A, "")</f>
        <v>蘆竹分隊</v>
      </c>
      <c r="B30" s="1">
        <f>_xlfn.XLOOKUP(排序!E27, 排序!A:A, 排序!B:B, "")</f>
        <v>247</v>
      </c>
      <c r="C30" s="1">
        <f>_xlfn.XLOOKUP(排序!E27, 排序!A:A, 排序!C:C, "")</f>
        <v>255</v>
      </c>
      <c r="D30" s="2">
        <f>_xlfn.XLOOKUP(排序!E27, 排序!A:A, 排序!D:D, "")</f>
        <v>0.96862745098039216</v>
      </c>
    </row>
    <row r="31" spans="1:4" ht="21" x14ac:dyDescent="0.25">
      <c r="A31" s="6" t="str">
        <f>_xlfn.XLOOKUP(排序!E28, 排序!A:A, 排序!A:A, "")</f>
        <v>山腳分隊</v>
      </c>
      <c r="B31" s="1">
        <f>_xlfn.XLOOKUP(排序!E28, 排序!A:A, 排序!B:B, "")</f>
        <v>107</v>
      </c>
      <c r="C31" s="1">
        <f>_xlfn.XLOOKUP(排序!E28, 排序!A:A, 排序!C:C, "")</f>
        <v>119</v>
      </c>
      <c r="D31" s="2">
        <f>_xlfn.XLOOKUP(排序!E28, 排序!A:A, 排序!D:D, "")</f>
        <v>0.89915966386554624</v>
      </c>
    </row>
    <row r="32" spans="1:4" ht="21" x14ac:dyDescent="0.25">
      <c r="A32" s="6" t="str">
        <f>_xlfn.XLOOKUP(排序!E29, 排序!A:A, 排序!A:A, "")</f>
        <v>大竹分隊</v>
      </c>
      <c r="B32" s="1">
        <f>_xlfn.XLOOKUP(排序!E29, 排序!A:A, 排序!B:B, "")</f>
        <v>157</v>
      </c>
      <c r="C32" s="1">
        <f>_xlfn.XLOOKUP(排序!E29, 排序!A:A, 排序!C:C, "")</f>
        <v>165</v>
      </c>
      <c r="D32" s="2">
        <f>_xlfn.XLOOKUP(排序!E29, 排序!A:A, 排序!D:D, "")</f>
        <v>0.95151515151515154</v>
      </c>
    </row>
    <row r="33" spans="1:4" ht="21" x14ac:dyDescent="0.25">
      <c r="A33" s="6" t="str">
        <f>_xlfn.XLOOKUP(排序!E30, 排序!A:A, 排序!A:A, "")</f>
        <v>大園分隊</v>
      </c>
      <c r="B33" s="1">
        <f>_xlfn.XLOOKUP(排序!E30, 排序!A:A, 排序!B:B, "")</f>
        <v>170</v>
      </c>
      <c r="C33" s="1">
        <f>_xlfn.XLOOKUP(排序!E30, 排序!A:A, 排序!C:C, "")</f>
        <v>180</v>
      </c>
      <c r="D33" s="2">
        <f>_xlfn.XLOOKUP(排序!E30, 排序!A:A, 排序!D:D, "")</f>
        <v>0.94444444444444442</v>
      </c>
    </row>
    <row r="34" spans="1:4" ht="21" x14ac:dyDescent="0.25">
      <c r="A34" s="6" t="str">
        <f>_xlfn.XLOOKUP(排序!E31, 排序!A:A, 排序!A:A, "")</f>
        <v>竹圍分隊</v>
      </c>
      <c r="B34" s="1">
        <f>_xlfn.XLOOKUP(排序!E31, 排序!A:A, 排序!B:B, "")</f>
        <v>78</v>
      </c>
      <c r="C34" s="1">
        <f>_xlfn.XLOOKUP(排序!E31, 排序!A:A, 排序!C:C, "")</f>
        <v>80</v>
      </c>
      <c r="D34" s="2">
        <f>_xlfn.XLOOKUP(排序!E31, 排序!A:A, 排序!D:D, "")</f>
        <v>0.97499999999999998</v>
      </c>
    </row>
    <row r="35" spans="1:4" ht="21" x14ac:dyDescent="0.25">
      <c r="A35" s="6" t="str">
        <f>_xlfn.XLOOKUP(排序!E32, 排序!A:A, 排序!A:A, "")</f>
        <v>觀音分隊</v>
      </c>
      <c r="B35" s="1">
        <f>_xlfn.XLOOKUP(排序!E32, 排序!A:A, 排序!B:B, "")</f>
        <v>64</v>
      </c>
      <c r="C35" s="1">
        <f>_xlfn.XLOOKUP(排序!E32, 排序!A:A, 排序!C:C, "")</f>
        <v>69</v>
      </c>
      <c r="D35" s="2">
        <f>_xlfn.XLOOKUP(排序!E32, 排序!A:A, 排序!D:D, "")</f>
        <v>0.92753623188405798</v>
      </c>
    </row>
    <row r="36" spans="1:4" ht="21" x14ac:dyDescent="0.25">
      <c r="A36" s="6" t="str">
        <f>_xlfn.XLOOKUP(排序!E33, 排序!A:A, 排序!A:A, "")</f>
        <v>新坡分隊</v>
      </c>
      <c r="B36" s="1">
        <f>_xlfn.XLOOKUP(排序!E33, 排序!A:A, 排序!B:B, "")</f>
        <v>90</v>
      </c>
      <c r="C36" s="1">
        <f>_xlfn.XLOOKUP(排序!E33, 排序!A:A, 排序!C:C, "")</f>
        <v>92</v>
      </c>
      <c r="D36" s="2">
        <f>_xlfn.XLOOKUP(排序!E33, 排序!A:A, 排序!D:D, "")</f>
        <v>0.97826086956521741</v>
      </c>
    </row>
    <row r="37" spans="1:4" ht="21" x14ac:dyDescent="0.25">
      <c r="A37" s="6" t="str">
        <f>_xlfn.XLOOKUP(排序!E34, 排序!A:A, 排序!A:A, "")</f>
        <v>草漯分隊</v>
      </c>
      <c r="B37" s="1">
        <f>_xlfn.XLOOKUP(排序!E34, 排序!A:A, 排序!B:B, "")</f>
        <v>97</v>
      </c>
      <c r="C37" s="1">
        <f>_xlfn.XLOOKUP(排序!E34, 排序!A:A, 排序!C:C, "")</f>
        <v>102</v>
      </c>
      <c r="D37" s="2">
        <f>_xlfn.XLOOKUP(排序!E34, 排序!A:A, 排序!D:D, "")</f>
        <v>0.9509803921568627</v>
      </c>
    </row>
    <row r="38" spans="1:4" ht="21" x14ac:dyDescent="0.25">
      <c r="A38" s="3" t="s">
        <v>47</v>
      </c>
      <c r="B38" s="3">
        <f>SUM(B39:B47)</f>
        <v>1176</v>
      </c>
      <c r="C38" s="3">
        <f>SUM(C39:C47)</f>
        <v>1220</v>
      </c>
      <c r="D38" s="4">
        <f>AVERAGE(D39:D47)</f>
        <v>0.95343024441819069</v>
      </c>
    </row>
    <row r="39" spans="1:4" ht="21" x14ac:dyDescent="0.25">
      <c r="A39" s="5" t="str">
        <f>_xlfn.XLOOKUP(排序!E35, 排序!A:A, 排序!A:A, "")</f>
        <v>圳頂分隊</v>
      </c>
      <c r="B39" s="1">
        <f>_xlfn.XLOOKUP(排序!E35, 排序!A:A, 排序!B:B, "")</f>
        <v>140</v>
      </c>
      <c r="C39" s="1">
        <f>_xlfn.XLOOKUP(排序!E35, 排序!A:A, 排序!C:C, "")</f>
        <v>147</v>
      </c>
      <c r="D39" s="2">
        <f>_xlfn.XLOOKUP(排序!E35, 排序!A:A, 排序!D:D, "")</f>
        <v>0.95238095238095233</v>
      </c>
    </row>
    <row r="40" spans="1:4" ht="21" x14ac:dyDescent="0.25">
      <c r="A40" s="5" t="str">
        <f>_xlfn.XLOOKUP(排序!E36, 排序!A:A, 排序!A:A, "")</f>
        <v>大溪分隊</v>
      </c>
      <c r="B40" s="1">
        <f>_xlfn.XLOOKUP(排序!E36, 排序!A:A, 排序!B:B, "")</f>
        <v>142</v>
      </c>
      <c r="C40" s="1">
        <f>_xlfn.XLOOKUP(排序!E36, 排序!A:A, 排序!C:C, "")</f>
        <v>147</v>
      </c>
      <c r="D40" s="2">
        <f>_xlfn.XLOOKUP(排序!E36, 排序!A:A, 排序!D:D, "")</f>
        <v>0.96598639455782309</v>
      </c>
    </row>
    <row r="41" spans="1:4" ht="21" x14ac:dyDescent="0.25">
      <c r="A41" s="5" t="str">
        <f>_xlfn.XLOOKUP(排序!E37, 排序!A:A, 排序!A:A, "")</f>
        <v>平鎮分隊</v>
      </c>
      <c r="B41" s="1">
        <f>_xlfn.XLOOKUP(排序!E37, 排序!A:A, 排序!B:B, "")</f>
        <v>139</v>
      </c>
      <c r="C41" s="1">
        <f>_xlfn.XLOOKUP(排序!E37, 排序!A:A, 排序!C:C, "")</f>
        <v>139</v>
      </c>
      <c r="D41" s="2">
        <f>_xlfn.XLOOKUP(排序!E37, 排序!A:A, 排序!D:D, "")</f>
        <v>1</v>
      </c>
    </row>
    <row r="42" spans="1:4" ht="21" x14ac:dyDescent="0.25">
      <c r="A42" s="5" t="str">
        <f>_xlfn.XLOOKUP(排序!E38, 排序!A:A, 排序!A:A, "")</f>
        <v>復旦分隊</v>
      </c>
      <c r="B42" s="1">
        <f>_xlfn.XLOOKUP(排序!E38, 排序!A:A, 排序!B:B, "")</f>
        <v>205</v>
      </c>
      <c r="C42" s="1">
        <f>_xlfn.XLOOKUP(排序!E38, 排序!A:A, 排序!C:C, "")</f>
        <v>209</v>
      </c>
      <c r="D42" s="2">
        <f>_xlfn.XLOOKUP(排序!E38, 排序!A:A, 排序!D:D, "")</f>
        <v>0.98086124401913877</v>
      </c>
    </row>
    <row r="43" spans="1:4" ht="21" x14ac:dyDescent="0.25">
      <c r="A43" s="5" t="str">
        <f>_xlfn.XLOOKUP(排序!E39, 排序!A:A, 排序!A:A, "")</f>
        <v>山峰分隊</v>
      </c>
      <c r="B43" s="1">
        <f>_xlfn.XLOOKUP(排序!E39, 排序!A:A, 排序!B:B, "")</f>
        <v>144</v>
      </c>
      <c r="C43" s="1">
        <f>_xlfn.XLOOKUP(排序!E39, 排序!A:A, 排序!C:C, "")</f>
        <v>149</v>
      </c>
      <c r="D43" s="2">
        <f>_xlfn.XLOOKUP(排序!E39, 排序!A:A, 排序!D:D, "")</f>
        <v>0.96644295302013428</v>
      </c>
    </row>
    <row r="44" spans="1:4" ht="21" x14ac:dyDescent="0.25">
      <c r="A44" s="5" t="str">
        <f>_xlfn.XLOOKUP(排序!E40, 排序!A:A, 排序!A:A, "")</f>
        <v>龍潭分隊</v>
      </c>
      <c r="B44" s="1">
        <f>_xlfn.XLOOKUP(排序!E40, 排序!A:A, 排序!B:B, "")</f>
        <v>265</v>
      </c>
      <c r="C44" s="1">
        <f>_xlfn.XLOOKUP(排序!E40, 排序!A:A, 排序!C:C, "")</f>
        <v>276</v>
      </c>
      <c r="D44" s="2">
        <f>_xlfn.XLOOKUP(排序!E40, 排序!A:A, 排序!D:D, "")</f>
        <v>0.96014492753623193</v>
      </c>
    </row>
    <row r="45" spans="1:4" ht="21" x14ac:dyDescent="0.25">
      <c r="A45" s="5" t="str">
        <f>_xlfn.XLOOKUP(排序!E41, 排序!A:A, 排序!A:A, "")</f>
        <v>高平分隊</v>
      </c>
      <c r="B45" s="1">
        <f>_xlfn.XLOOKUP(排序!E41, 排序!A:A, 排序!B:B, "")</f>
        <v>64</v>
      </c>
      <c r="C45" s="1">
        <f>_xlfn.XLOOKUP(排序!E41, 排序!A:A, 排序!C:C, "")</f>
        <v>73</v>
      </c>
      <c r="D45" s="2">
        <f>_xlfn.XLOOKUP(排序!E41, 排序!A:A, 排序!D:D, "")</f>
        <v>0.87671232876712324</v>
      </c>
    </row>
    <row r="46" spans="1:4" ht="21" x14ac:dyDescent="0.25">
      <c r="A46" s="5" t="str">
        <f>_xlfn.XLOOKUP(排序!E42, 排序!A:A, 排序!A:A, "")</f>
        <v>復興分隊</v>
      </c>
      <c r="B46" s="1">
        <f>_xlfn.XLOOKUP(排序!E42, 排序!A:A, 排序!B:B, "")</f>
        <v>60</v>
      </c>
      <c r="C46" s="1">
        <f>_xlfn.XLOOKUP(排序!E42, 排序!A:A, 排序!C:C, "")</f>
        <v>61</v>
      </c>
      <c r="D46" s="2">
        <f>_xlfn.XLOOKUP(排序!E42, 排序!A:A, 排序!D:D, "")</f>
        <v>0.98360655737704916</v>
      </c>
    </row>
    <row r="47" spans="1:4" ht="21" x14ac:dyDescent="0.25">
      <c r="A47" s="5" t="str">
        <f>_xlfn.XLOOKUP(排序!E43, 排序!A:A, 排序!A:A, "")</f>
        <v>巴陵分隊</v>
      </c>
      <c r="B47" s="1">
        <f>_xlfn.XLOOKUP(排序!E43, 排序!A:A, 排序!B:B, "")</f>
        <v>17</v>
      </c>
      <c r="C47" s="1">
        <f>_xlfn.XLOOKUP(排序!E43, 排序!A:A, 排序!C:C, "")</f>
        <v>19</v>
      </c>
      <c r="D47" s="2">
        <f>_xlfn.XLOOKUP(排序!E43, 排序!A:A, 排序!D:D, "")</f>
        <v>0.89473684210526316</v>
      </c>
    </row>
  </sheetData>
  <mergeCells count="1">
    <mergeCell ref="A1:D1"/>
  </mergeCells>
  <phoneticPr fontId="1" type="noConversion"/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44C3-6B31-4921-9245-7C319B4CF297}">
  <sheetPr>
    <pageSetUpPr fitToPage="1"/>
  </sheetPr>
  <dimension ref="A1:M51"/>
  <sheetViews>
    <sheetView tabSelected="1" topLeftCell="A25" workbookViewId="0">
      <selection activeCell="B43" sqref="B43"/>
    </sheetView>
  </sheetViews>
  <sheetFormatPr defaultRowHeight="19.5" x14ac:dyDescent="0.25"/>
  <cols>
    <col min="1" max="1" width="16" style="8" customWidth="1"/>
    <col min="2" max="3" width="28.7109375" style="8" customWidth="1"/>
    <col min="4" max="4" width="28.7109375" style="19" customWidth="1"/>
    <col min="5" max="8" width="9.140625" style="8"/>
    <col min="9" max="9" width="9.140625" style="9"/>
    <col min="10" max="16384" width="9.140625" style="8"/>
  </cols>
  <sheetData>
    <row r="1" spans="1:13" x14ac:dyDescent="0.25">
      <c r="A1" s="22" t="s">
        <v>48</v>
      </c>
      <c r="B1" s="23"/>
      <c r="C1" s="23"/>
      <c r="D1" s="23"/>
    </row>
    <row r="2" spans="1:13" x14ac:dyDescent="0.25">
      <c r="A2" s="7"/>
      <c r="B2" s="16" t="s">
        <v>42</v>
      </c>
      <c r="C2" s="16" t="s">
        <v>41</v>
      </c>
      <c r="D2" s="17" t="s">
        <v>43</v>
      </c>
    </row>
    <row r="3" spans="1:13" x14ac:dyDescent="0.3">
      <c r="A3" s="10" t="s">
        <v>38</v>
      </c>
      <c r="B3" s="15">
        <v>211</v>
      </c>
      <c r="C3" s="15">
        <v>218</v>
      </c>
      <c r="D3" s="18">
        <f t="shared" ref="D3:D43" si="0">B3/C3</f>
        <v>0.9678899082568807</v>
      </c>
      <c r="E3" s="11" t="s">
        <v>23</v>
      </c>
      <c r="F3" s="11"/>
      <c r="G3" s="12"/>
    </row>
    <row r="4" spans="1:13" x14ac:dyDescent="0.3">
      <c r="A4" s="10" t="s">
        <v>4</v>
      </c>
      <c r="B4" s="15">
        <v>381</v>
      </c>
      <c r="C4" s="15">
        <v>410</v>
      </c>
      <c r="D4" s="18">
        <f t="shared" si="0"/>
        <v>0.92926829268292688</v>
      </c>
      <c r="E4" s="11" t="s">
        <v>27</v>
      </c>
      <c r="F4" s="11"/>
      <c r="G4" s="12"/>
    </row>
    <row r="5" spans="1:13" x14ac:dyDescent="0.3">
      <c r="A5" s="10" t="s">
        <v>21</v>
      </c>
      <c r="B5" s="15">
        <v>194</v>
      </c>
      <c r="C5" s="15">
        <v>225</v>
      </c>
      <c r="D5" s="18">
        <f t="shared" si="0"/>
        <v>0.86222222222222222</v>
      </c>
      <c r="E5" s="11" t="s">
        <v>20</v>
      </c>
      <c r="F5" s="11"/>
      <c r="G5" s="12"/>
    </row>
    <row r="6" spans="1:13" x14ac:dyDescent="0.3">
      <c r="A6" s="10" t="s">
        <v>35</v>
      </c>
      <c r="B6" s="15">
        <v>157</v>
      </c>
      <c r="C6" s="15">
        <v>165</v>
      </c>
      <c r="D6" s="18">
        <f t="shared" si="0"/>
        <v>0.95151515151515154</v>
      </c>
      <c r="E6" s="11" t="s">
        <v>4</v>
      </c>
      <c r="F6" s="11"/>
      <c r="G6" s="12"/>
    </row>
    <row r="7" spans="1:13" x14ac:dyDescent="0.3">
      <c r="A7" s="10" t="s">
        <v>20</v>
      </c>
      <c r="B7" s="15">
        <v>265</v>
      </c>
      <c r="C7" s="15">
        <v>277</v>
      </c>
      <c r="D7" s="18">
        <f t="shared" si="0"/>
        <v>0.95667870036101088</v>
      </c>
      <c r="E7" s="11" t="s">
        <v>21</v>
      </c>
      <c r="F7" s="11"/>
      <c r="G7" s="12"/>
    </row>
    <row r="8" spans="1:13" x14ac:dyDescent="0.3">
      <c r="A8" s="10" t="s">
        <v>0</v>
      </c>
      <c r="B8" s="15">
        <v>248</v>
      </c>
      <c r="C8" s="15">
        <v>266</v>
      </c>
      <c r="D8" s="18">
        <f t="shared" si="0"/>
        <v>0.93233082706766912</v>
      </c>
      <c r="E8" s="11" t="s">
        <v>5</v>
      </c>
      <c r="F8" s="11"/>
      <c r="G8" s="12"/>
    </row>
    <row r="9" spans="1:13" x14ac:dyDescent="0.3">
      <c r="A9" s="10" t="s">
        <v>22</v>
      </c>
      <c r="B9" s="15">
        <v>170</v>
      </c>
      <c r="C9" s="15">
        <v>180</v>
      </c>
      <c r="D9" s="18">
        <f t="shared" si="0"/>
        <v>0.94444444444444442</v>
      </c>
      <c r="E9" s="11" t="s">
        <v>38</v>
      </c>
      <c r="F9" s="11"/>
      <c r="G9" s="12"/>
    </row>
    <row r="10" spans="1:13" x14ac:dyDescent="0.3">
      <c r="A10" s="10" t="s">
        <v>29</v>
      </c>
      <c r="B10" s="15">
        <v>142</v>
      </c>
      <c r="C10" s="15">
        <v>147</v>
      </c>
      <c r="D10" s="18">
        <f t="shared" si="0"/>
        <v>0.96598639455782309</v>
      </c>
      <c r="E10" s="11" t="s">
        <v>0</v>
      </c>
      <c r="F10" s="11"/>
      <c r="G10" s="12"/>
    </row>
    <row r="11" spans="1:13" x14ac:dyDescent="0.3">
      <c r="A11" s="10" t="s">
        <v>12</v>
      </c>
      <c r="B11" s="15">
        <v>144</v>
      </c>
      <c r="C11" s="15">
        <v>149</v>
      </c>
      <c r="D11" s="18">
        <f t="shared" si="0"/>
        <v>0.96644295302013428</v>
      </c>
      <c r="E11" s="11" t="s">
        <v>15</v>
      </c>
      <c r="F11" s="11"/>
      <c r="G11" s="12"/>
    </row>
    <row r="12" spans="1:13" x14ac:dyDescent="0.3">
      <c r="A12" s="10" t="s">
        <v>9</v>
      </c>
      <c r="B12" s="15">
        <v>107</v>
      </c>
      <c r="C12" s="15">
        <v>119</v>
      </c>
      <c r="D12" s="18">
        <f t="shared" si="0"/>
        <v>0.89915966386554624</v>
      </c>
      <c r="E12" s="11" t="s">
        <v>17</v>
      </c>
      <c r="F12" s="11"/>
      <c r="G12" s="12"/>
      <c r="L12" s="13"/>
      <c r="M12" s="13"/>
    </row>
    <row r="13" spans="1:13" x14ac:dyDescent="0.3">
      <c r="A13" s="10" t="s">
        <v>27</v>
      </c>
      <c r="B13" s="15">
        <v>179</v>
      </c>
      <c r="C13" s="15">
        <v>198</v>
      </c>
      <c r="D13" s="18">
        <f t="shared" si="0"/>
        <v>0.90404040404040409</v>
      </c>
      <c r="E13" s="11" t="s">
        <v>8</v>
      </c>
      <c r="F13" s="11"/>
      <c r="G13" s="12"/>
      <c r="L13" s="13"/>
      <c r="M13" s="13"/>
    </row>
    <row r="14" spans="1:13" x14ac:dyDescent="0.3">
      <c r="A14" s="10" t="s">
        <v>14</v>
      </c>
      <c r="B14" s="15">
        <v>359</v>
      </c>
      <c r="C14" s="15">
        <v>369</v>
      </c>
      <c r="D14" s="18">
        <f t="shared" si="0"/>
        <v>0.97289972899728994</v>
      </c>
      <c r="E14" s="11" t="s">
        <v>13</v>
      </c>
      <c r="F14" s="11"/>
      <c r="G14" s="12"/>
      <c r="L14" s="13"/>
      <c r="M14" s="13"/>
    </row>
    <row r="15" spans="1:13" x14ac:dyDescent="0.3">
      <c r="A15" s="10" t="s">
        <v>19</v>
      </c>
      <c r="B15" s="15">
        <v>270</v>
      </c>
      <c r="C15" s="15">
        <v>299</v>
      </c>
      <c r="D15" s="18">
        <f t="shared" si="0"/>
        <v>0.90301003344481601</v>
      </c>
      <c r="E15" s="11" t="s">
        <v>14</v>
      </c>
      <c r="F15" s="11"/>
      <c r="G15" s="12"/>
      <c r="L15" s="13"/>
      <c r="M15" s="13"/>
    </row>
    <row r="16" spans="1:13" x14ac:dyDescent="0.3">
      <c r="A16" s="10" t="s">
        <v>1</v>
      </c>
      <c r="B16" s="15">
        <v>17</v>
      </c>
      <c r="C16" s="15">
        <v>19</v>
      </c>
      <c r="D16" s="18">
        <f t="shared" si="0"/>
        <v>0.89473684210526316</v>
      </c>
      <c r="E16" s="11" t="s">
        <v>3</v>
      </c>
      <c r="F16" s="11"/>
      <c r="G16" s="12"/>
      <c r="L16" s="13"/>
      <c r="M16" s="13"/>
    </row>
    <row r="17" spans="1:13" x14ac:dyDescent="0.3">
      <c r="A17" s="10" t="s">
        <v>31</v>
      </c>
      <c r="B17" s="15">
        <v>139</v>
      </c>
      <c r="C17" s="15">
        <v>139</v>
      </c>
      <c r="D17" s="18">
        <f t="shared" si="0"/>
        <v>1</v>
      </c>
      <c r="E17" s="11" t="s">
        <v>26</v>
      </c>
      <c r="F17" s="11"/>
      <c r="G17" s="12"/>
      <c r="L17" s="13"/>
      <c r="M17" s="13"/>
    </row>
    <row r="18" spans="1:13" x14ac:dyDescent="0.3">
      <c r="A18" s="10" t="s">
        <v>40</v>
      </c>
      <c r="B18" s="15">
        <v>119</v>
      </c>
      <c r="C18" s="15">
        <v>125</v>
      </c>
      <c r="D18" s="18">
        <f t="shared" si="0"/>
        <v>0.95199999999999996</v>
      </c>
      <c r="E18" s="11" t="s">
        <v>19</v>
      </c>
      <c r="F18" s="11"/>
      <c r="G18" s="12"/>
      <c r="L18" s="13"/>
      <c r="M18" s="13"/>
    </row>
    <row r="19" spans="1:13" x14ac:dyDescent="0.3">
      <c r="A19" s="10" t="s">
        <v>33</v>
      </c>
      <c r="B19" s="15">
        <v>44</v>
      </c>
      <c r="C19" s="15">
        <v>53</v>
      </c>
      <c r="D19" s="18">
        <f t="shared" si="0"/>
        <v>0.83018867924528306</v>
      </c>
      <c r="E19" s="11" t="s">
        <v>28</v>
      </c>
      <c r="F19" s="11"/>
      <c r="G19" s="12"/>
      <c r="L19" s="13"/>
      <c r="M19" s="13"/>
    </row>
    <row r="20" spans="1:13" x14ac:dyDescent="0.3">
      <c r="A20" s="10" t="s">
        <v>34</v>
      </c>
      <c r="B20" s="15">
        <v>140</v>
      </c>
      <c r="C20" s="15">
        <v>147</v>
      </c>
      <c r="D20" s="18">
        <f t="shared" si="0"/>
        <v>0.95238095238095233</v>
      </c>
      <c r="E20" s="11" t="s">
        <v>24</v>
      </c>
      <c r="F20" s="11"/>
      <c r="G20" s="12"/>
      <c r="L20" s="13"/>
      <c r="M20" s="13"/>
    </row>
    <row r="21" spans="1:13" x14ac:dyDescent="0.3">
      <c r="A21" s="10" t="s">
        <v>18</v>
      </c>
      <c r="B21" s="15">
        <v>78</v>
      </c>
      <c r="C21" s="15">
        <v>80</v>
      </c>
      <c r="D21" s="18">
        <f t="shared" si="0"/>
        <v>0.97499999999999998</v>
      </c>
      <c r="E21" s="11" t="s">
        <v>2</v>
      </c>
      <c r="F21" s="11"/>
      <c r="G21" s="12"/>
      <c r="L21" s="13"/>
      <c r="M21" s="13"/>
    </row>
    <row r="22" spans="1:13" x14ac:dyDescent="0.3">
      <c r="A22" s="10" t="s">
        <v>8</v>
      </c>
      <c r="B22" s="15">
        <v>222</v>
      </c>
      <c r="C22" s="15">
        <v>235</v>
      </c>
      <c r="D22" s="18">
        <f t="shared" si="0"/>
        <v>0.94468085106382982</v>
      </c>
      <c r="E22" s="11" t="s">
        <v>40</v>
      </c>
      <c r="F22" s="11"/>
      <c r="G22" s="12"/>
      <c r="L22" s="13"/>
      <c r="M22" s="13"/>
    </row>
    <row r="23" spans="1:13" x14ac:dyDescent="0.3">
      <c r="A23" s="10" t="s">
        <v>24</v>
      </c>
      <c r="B23" s="15">
        <v>179</v>
      </c>
      <c r="C23" s="15">
        <v>183</v>
      </c>
      <c r="D23" s="18">
        <f t="shared" si="0"/>
        <v>0.97814207650273222</v>
      </c>
      <c r="E23" s="11" t="s">
        <v>32</v>
      </c>
      <c r="F23" s="11"/>
      <c r="G23" s="12"/>
      <c r="L23" s="13"/>
      <c r="M23" s="13"/>
    </row>
    <row r="24" spans="1:13" x14ac:dyDescent="0.3">
      <c r="A24" s="10" t="s">
        <v>15</v>
      </c>
      <c r="B24" s="15">
        <v>180</v>
      </c>
      <c r="C24" s="15">
        <v>193</v>
      </c>
      <c r="D24" s="18">
        <f t="shared" si="0"/>
        <v>0.93264248704663211</v>
      </c>
      <c r="E24" s="11" t="s">
        <v>11</v>
      </c>
      <c r="F24" s="11"/>
      <c r="G24" s="12"/>
      <c r="L24" s="13"/>
      <c r="M24" s="13"/>
    </row>
    <row r="25" spans="1:13" x14ac:dyDescent="0.3">
      <c r="A25" s="10" t="s">
        <v>5</v>
      </c>
      <c r="B25" s="15">
        <v>209</v>
      </c>
      <c r="C25" s="15">
        <v>221</v>
      </c>
      <c r="D25" s="18">
        <f t="shared" si="0"/>
        <v>0.94570135746606332</v>
      </c>
      <c r="E25" s="11" t="s">
        <v>25</v>
      </c>
      <c r="F25" s="11"/>
      <c r="G25" s="12"/>
      <c r="L25" s="13"/>
      <c r="M25" s="13"/>
    </row>
    <row r="26" spans="1:13" x14ac:dyDescent="0.3">
      <c r="A26" s="10" t="s">
        <v>32</v>
      </c>
      <c r="B26" s="15">
        <v>158</v>
      </c>
      <c r="C26" s="15">
        <v>162</v>
      </c>
      <c r="D26" s="18">
        <f t="shared" si="0"/>
        <v>0.97530864197530864</v>
      </c>
      <c r="E26" s="11" t="s">
        <v>33</v>
      </c>
      <c r="F26" s="11"/>
      <c r="G26" s="12"/>
      <c r="L26" s="13"/>
      <c r="M26" s="13"/>
    </row>
    <row r="27" spans="1:13" x14ac:dyDescent="0.3">
      <c r="A27" s="10" t="s">
        <v>23</v>
      </c>
      <c r="B27" s="15">
        <v>266</v>
      </c>
      <c r="C27" s="15">
        <v>279</v>
      </c>
      <c r="D27" s="18">
        <f t="shared" si="0"/>
        <v>0.95340501792114696</v>
      </c>
      <c r="E27" s="11" t="s">
        <v>16</v>
      </c>
      <c r="F27" s="11"/>
      <c r="G27" s="12"/>
      <c r="L27" s="13"/>
      <c r="M27" s="13"/>
    </row>
    <row r="28" spans="1:13" x14ac:dyDescent="0.3">
      <c r="A28" s="10" t="s">
        <v>7</v>
      </c>
      <c r="B28" s="15">
        <v>97</v>
      </c>
      <c r="C28" s="15">
        <v>102</v>
      </c>
      <c r="D28" s="18">
        <f t="shared" si="0"/>
        <v>0.9509803921568627</v>
      </c>
      <c r="E28" s="11" t="s">
        <v>9</v>
      </c>
      <c r="F28" s="11"/>
      <c r="G28" s="12"/>
      <c r="L28" s="13"/>
      <c r="M28" s="13"/>
    </row>
    <row r="29" spans="1:13" x14ac:dyDescent="0.3">
      <c r="A29" s="10" t="s">
        <v>13</v>
      </c>
      <c r="B29" s="15">
        <v>70</v>
      </c>
      <c r="C29" s="15">
        <v>76</v>
      </c>
      <c r="D29" s="18">
        <f t="shared" si="0"/>
        <v>0.92105263157894735</v>
      </c>
      <c r="E29" s="11" t="s">
        <v>35</v>
      </c>
      <c r="F29" s="11"/>
      <c r="L29" s="13"/>
      <c r="M29" s="13"/>
    </row>
    <row r="30" spans="1:13" x14ac:dyDescent="0.3">
      <c r="A30" s="10" t="s">
        <v>30</v>
      </c>
      <c r="B30" s="15">
        <v>64</v>
      </c>
      <c r="C30" s="15">
        <v>73</v>
      </c>
      <c r="D30" s="18">
        <f t="shared" si="0"/>
        <v>0.87671232876712324</v>
      </c>
      <c r="E30" s="11" t="s">
        <v>22</v>
      </c>
      <c r="F30" s="11"/>
      <c r="L30" s="13"/>
      <c r="M30" s="13"/>
    </row>
    <row r="31" spans="1:13" x14ac:dyDescent="0.3">
      <c r="A31" s="10" t="s">
        <v>11</v>
      </c>
      <c r="B31" s="15">
        <v>103</v>
      </c>
      <c r="C31" s="15">
        <v>106</v>
      </c>
      <c r="D31" s="18">
        <f t="shared" si="0"/>
        <v>0.97169811320754718</v>
      </c>
      <c r="E31" s="11" t="s">
        <v>18</v>
      </c>
      <c r="F31" s="11"/>
      <c r="L31" s="13"/>
      <c r="M31" s="13"/>
    </row>
    <row r="32" spans="1:13" x14ac:dyDescent="0.3">
      <c r="A32" s="10" t="s">
        <v>10</v>
      </c>
      <c r="B32" s="15">
        <v>205</v>
      </c>
      <c r="C32" s="15">
        <v>209</v>
      </c>
      <c r="D32" s="18">
        <f t="shared" si="0"/>
        <v>0.98086124401913877</v>
      </c>
      <c r="E32" s="11" t="s">
        <v>37</v>
      </c>
      <c r="F32" s="11"/>
      <c r="L32" s="13"/>
      <c r="M32" s="13"/>
    </row>
    <row r="33" spans="1:13" x14ac:dyDescent="0.3">
      <c r="A33" s="10" t="s">
        <v>39</v>
      </c>
      <c r="B33" s="15">
        <v>60</v>
      </c>
      <c r="C33" s="15">
        <v>61</v>
      </c>
      <c r="D33" s="18">
        <f t="shared" si="0"/>
        <v>0.98360655737704916</v>
      </c>
      <c r="E33" s="11" t="s">
        <v>36</v>
      </c>
      <c r="F33" s="11"/>
      <c r="L33" s="13"/>
      <c r="M33" s="13"/>
    </row>
    <row r="34" spans="1:13" x14ac:dyDescent="0.3">
      <c r="A34" s="10" t="s">
        <v>26</v>
      </c>
      <c r="B34" s="15">
        <v>303</v>
      </c>
      <c r="C34" s="15">
        <v>312</v>
      </c>
      <c r="D34" s="18">
        <f t="shared" si="0"/>
        <v>0.97115384615384615</v>
      </c>
      <c r="E34" s="11" t="s">
        <v>7</v>
      </c>
      <c r="F34" s="11"/>
      <c r="L34" s="13"/>
      <c r="M34" s="13"/>
    </row>
    <row r="35" spans="1:13" x14ac:dyDescent="0.3">
      <c r="A35" s="10" t="s">
        <v>36</v>
      </c>
      <c r="B35" s="15">
        <v>90</v>
      </c>
      <c r="C35" s="15">
        <v>92</v>
      </c>
      <c r="D35" s="18">
        <f t="shared" si="0"/>
        <v>0.97826086956521741</v>
      </c>
      <c r="E35" s="11" t="s">
        <v>34</v>
      </c>
      <c r="F35" s="11"/>
      <c r="L35" s="13"/>
      <c r="M35" s="13"/>
    </row>
    <row r="36" spans="1:13" x14ac:dyDescent="0.3">
      <c r="A36" s="10" t="s">
        <v>25</v>
      </c>
      <c r="B36" s="15">
        <v>105</v>
      </c>
      <c r="C36" s="15">
        <v>108</v>
      </c>
      <c r="D36" s="18">
        <f t="shared" si="0"/>
        <v>0.97222222222222221</v>
      </c>
      <c r="E36" s="11" t="s">
        <v>29</v>
      </c>
      <c r="F36" s="11"/>
      <c r="L36" s="13"/>
      <c r="M36" s="13"/>
    </row>
    <row r="37" spans="1:13" x14ac:dyDescent="0.3">
      <c r="A37" s="10" t="s">
        <v>2</v>
      </c>
      <c r="B37" s="15">
        <v>218</v>
      </c>
      <c r="C37" s="15">
        <v>220</v>
      </c>
      <c r="D37" s="18">
        <f t="shared" si="0"/>
        <v>0.99090909090909096</v>
      </c>
      <c r="E37" s="11" t="s">
        <v>31</v>
      </c>
      <c r="F37" s="11"/>
      <c r="L37" s="13"/>
      <c r="M37" s="13"/>
    </row>
    <row r="38" spans="1:13" x14ac:dyDescent="0.3">
      <c r="A38" s="10" t="s">
        <v>3</v>
      </c>
      <c r="B38" s="15">
        <v>357</v>
      </c>
      <c r="C38" s="15">
        <v>372</v>
      </c>
      <c r="D38" s="18">
        <f t="shared" si="0"/>
        <v>0.95967741935483875</v>
      </c>
      <c r="E38" s="11" t="s">
        <v>10</v>
      </c>
      <c r="F38" s="11"/>
      <c r="L38" s="13"/>
      <c r="M38" s="13"/>
    </row>
    <row r="39" spans="1:13" x14ac:dyDescent="0.3">
      <c r="A39" s="10" t="s">
        <v>28</v>
      </c>
      <c r="B39" s="15">
        <v>237</v>
      </c>
      <c r="C39" s="15">
        <v>244</v>
      </c>
      <c r="D39" s="18">
        <f t="shared" si="0"/>
        <v>0.97131147540983609</v>
      </c>
      <c r="E39" s="11" t="s">
        <v>12</v>
      </c>
      <c r="F39" s="11"/>
      <c r="L39" s="13"/>
      <c r="M39" s="13"/>
    </row>
    <row r="40" spans="1:13" x14ac:dyDescent="0.3">
      <c r="A40" s="10" t="s">
        <v>6</v>
      </c>
      <c r="B40" s="15">
        <v>265</v>
      </c>
      <c r="C40" s="15">
        <v>276</v>
      </c>
      <c r="D40" s="18">
        <f t="shared" si="0"/>
        <v>0.96014492753623193</v>
      </c>
      <c r="E40" s="11" t="s">
        <v>6</v>
      </c>
      <c r="F40" s="11"/>
      <c r="L40" s="13"/>
      <c r="M40" s="13"/>
    </row>
    <row r="41" spans="1:13" x14ac:dyDescent="0.3">
      <c r="A41" s="10" t="s">
        <v>17</v>
      </c>
      <c r="B41" s="15">
        <v>261</v>
      </c>
      <c r="C41" s="15">
        <v>268</v>
      </c>
      <c r="D41" s="18">
        <f t="shared" si="0"/>
        <v>0.97388059701492535</v>
      </c>
      <c r="E41" s="11" t="s">
        <v>30</v>
      </c>
      <c r="F41" s="11"/>
      <c r="L41" s="13"/>
      <c r="M41" s="13"/>
    </row>
    <row r="42" spans="1:13" x14ac:dyDescent="0.3">
      <c r="A42" s="10" t="s">
        <v>16</v>
      </c>
      <c r="B42" s="15">
        <v>247</v>
      </c>
      <c r="C42" s="15">
        <v>255</v>
      </c>
      <c r="D42" s="18">
        <f t="shared" si="0"/>
        <v>0.96862745098039216</v>
      </c>
      <c r="E42" s="11" t="s">
        <v>39</v>
      </c>
      <c r="F42" s="11"/>
      <c r="L42" s="13"/>
      <c r="M42" s="13"/>
    </row>
    <row r="43" spans="1:13" x14ac:dyDescent="0.3">
      <c r="A43" s="10" t="s">
        <v>37</v>
      </c>
      <c r="B43" s="15">
        <v>64</v>
      </c>
      <c r="C43" s="15">
        <v>69</v>
      </c>
      <c r="D43" s="18">
        <f t="shared" si="0"/>
        <v>0.92753623188405798</v>
      </c>
      <c r="E43" s="11" t="s">
        <v>1</v>
      </c>
      <c r="F43" s="11"/>
      <c r="L43" s="13"/>
      <c r="M43" s="13"/>
    </row>
    <row r="44" spans="1:13" x14ac:dyDescent="0.25">
      <c r="E44" s="11"/>
      <c r="F44" s="11"/>
      <c r="L44" s="13"/>
      <c r="M44" s="13"/>
    </row>
    <row r="45" spans="1:13" x14ac:dyDescent="0.25">
      <c r="E45" s="11"/>
      <c r="F45" s="11"/>
      <c r="L45" s="13"/>
      <c r="M45" s="13"/>
    </row>
    <row r="46" spans="1:13" x14ac:dyDescent="0.25">
      <c r="E46" s="11"/>
      <c r="F46" s="11"/>
      <c r="L46" s="13"/>
      <c r="M46" s="13"/>
    </row>
    <row r="47" spans="1:13" x14ac:dyDescent="0.25">
      <c r="E47" s="11"/>
      <c r="F47" s="11"/>
      <c r="L47" s="13"/>
      <c r="M47" s="13"/>
    </row>
    <row r="48" spans="1:13" x14ac:dyDescent="0.25">
      <c r="L48" s="13"/>
      <c r="M48" s="13"/>
    </row>
    <row r="49" spans="12:13" x14ac:dyDescent="0.25">
      <c r="L49" s="13"/>
      <c r="M49" s="13"/>
    </row>
    <row r="50" spans="12:13" x14ac:dyDescent="0.25">
      <c r="L50" s="13"/>
      <c r="M50" s="13"/>
    </row>
    <row r="51" spans="12:13" x14ac:dyDescent="0.25">
      <c r="L51" s="13"/>
      <c r="M51" s="13"/>
    </row>
  </sheetData>
  <sortState xmlns:xlrd2="http://schemas.microsoft.com/office/spreadsheetml/2017/richdata2" ref="A3:D43">
    <sortCondition ref="A2:A43"/>
  </sortState>
  <mergeCells count="1">
    <mergeCell ref="A1:D1"/>
  </mergeCells>
  <phoneticPr fontId="1" type="noConversion"/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到院前預警比例</vt:lpstr>
      <vt:lpstr>排序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黃信銘</cp:lastModifiedBy>
  <cp:lastPrinted>2025-11-20T05:38:25Z</cp:lastPrinted>
  <dcterms:created xsi:type="dcterms:W3CDTF">2025-11-19T02:35:53Z</dcterms:created>
  <dcterms:modified xsi:type="dcterms:W3CDTF">2026-07-08T07:01:44Z</dcterms:modified>
</cp:coreProperties>
</file>